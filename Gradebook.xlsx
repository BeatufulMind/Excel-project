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FC80101-17AF-4C3A-A308-FAAF898D0455}" xr6:coauthVersionLast="47" xr6:coauthVersionMax="47" xr10:uidLastSave="{00000000-0000-0000-0000-000000000000}"/>
  <bookViews>
    <workbookView xWindow="-110" yWindow="-110" windowWidth="19420" windowHeight="10300" xr2:uid="{1C797726-73DD-4862-808C-2E9709DCB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I25" i="1"/>
  <c r="H25" i="1"/>
  <c r="K24" i="1"/>
  <c r="J24" i="1"/>
  <c r="I24" i="1"/>
  <c r="H24" i="1"/>
  <c r="K23" i="1"/>
  <c r="J23" i="1"/>
  <c r="I23" i="1"/>
  <c r="H23" i="1"/>
  <c r="D23" i="1"/>
  <c r="E23" i="1"/>
  <c r="F23" i="1"/>
  <c r="D24" i="1"/>
  <c r="E24" i="1"/>
  <c r="F24" i="1"/>
  <c r="D25" i="1"/>
  <c r="E25" i="1"/>
  <c r="F25" i="1"/>
  <c r="C25" i="1"/>
  <c r="C24" i="1"/>
  <c r="C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I4" i="1"/>
  <c r="J4" i="1"/>
  <c r="K4" i="1"/>
  <c r="H4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<sst xmlns="http://schemas.openxmlformats.org/spreadsheetml/2006/main" count="50" uniqueCount="46">
  <si>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</si>
  <si>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</si>
  <si>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</si>
  <si>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Kern</t>
  </si>
  <si>
    <t>Howard</t>
  </si>
  <si>
    <t>O'Donnald</t>
  </si>
  <si>
    <t>Herndandez</t>
  </si>
  <si>
    <t>Smith</t>
  </si>
  <si>
    <t>Baker</t>
  </si>
  <si>
    <t>Velinda</t>
  </si>
  <si>
    <t>Carnehan</t>
  </si>
  <si>
    <t>Westerfield</t>
  </si>
  <si>
    <t>Penfold</t>
  </si>
  <si>
    <t>Islington</t>
  </si>
  <si>
    <t>Young</t>
  </si>
  <si>
    <t>Trenton</t>
  </si>
  <si>
    <t>engleheart</t>
  </si>
  <si>
    <t>Norman</t>
  </si>
  <si>
    <t>Mann</t>
  </si>
  <si>
    <t>Underhill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</si>
  <si>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</si>
  <si>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</si>
  <si>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</si>
  <si>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</si>
  <si>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</si>
  <si>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</si>
  <si>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</si>
  <si>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</si>
  <si>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</si>
  <si>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</si>
  <si>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</si>
  <si>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</si>
  <si>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</si>
  <si>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</si>
  <si>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</si>
  <si>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</si>
  <si>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</si>
  <si>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Safety Test</t>
  </si>
  <si>
    <t>Company Philosophy Test</t>
  </si>
  <si>
    <t>Financial skills Test</t>
  </si>
  <si>
    <t>Drug Test</t>
  </si>
  <si>
    <t>Point possible</t>
  </si>
  <si>
    <t>Fire employee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</si>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</sst>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F-4B77-94B1-96F6B3B8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63792"/>
        <c:axId val="32164752"/>
      </c:barChart>
      <c:catAx>
        <c:axId val="321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4752"/>
        <c:crosses val="autoZero"/>
        <c:auto val="1"/>
        <c:lblAlgn val="ctr"/>
        <c:lblOffset val="100"/>
        <c:noMultiLvlLbl val="0"/>
      </c:catAx>
      <c:valAx>
        <c:axId val="321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 philosophy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5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1FC-9154-F3DF2494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196495"/>
        <c:axId val="1585196015"/>
      </c:barChart>
      <c:catAx>
        <c:axId val="15851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96015"/>
        <c:crosses val="autoZero"/>
        <c:auto val="1"/>
        <c:lblAlgn val="ctr"/>
        <c:lblOffset val="100"/>
        <c:noMultiLvlLbl val="0"/>
      </c:catAx>
      <c:valAx>
        <c:axId val="158519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613405768638094E-2"/>
          <c:y val="0.19486098625567264"/>
          <c:w val="0.89030796150481195"/>
          <c:h val="0.593144138232720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B-42CB-A50C-E0D633D4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195055"/>
        <c:axId val="1585194095"/>
      </c:barChart>
      <c:catAx>
        <c:axId val="158519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94095"/>
        <c:crosses val="autoZero"/>
        <c:auto val="1"/>
        <c:lblAlgn val="ctr"/>
        <c:lblOffset val="100"/>
        <c:noMultiLvlLbl val="0"/>
      </c:catAx>
      <c:valAx>
        <c:axId val="158519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19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2-4C0F-AAAF-6A4BC5137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364303"/>
        <c:axId val="1525364783"/>
      </c:barChart>
      <c:catAx>
        <c:axId val="15253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64783"/>
        <c:crosses val="autoZero"/>
        <c:auto val="1"/>
        <c:lblAlgn val="ctr"/>
        <c:lblOffset val="100"/>
        <c:noMultiLvlLbl val="0"/>
      </c:catAx>
      <c:valAx>
        <c:axId val="15253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6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212725</xdr:colOff>
      <xdr:row>4</xdr:row>
      <xdr:rowOff>69849</xdr:rowOff>
    </xdr:from>
    <xdr:to>
      <xdr:col>20</xdr:col>
      <xdr:colOff>152400</xdr:colOff>
      <xdr:row>18</xdr:row>
      <xdr:rowOff>117474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4A308-4CE3-1011-31CF-6F320B47B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165100</xdr:colOff>
      <xdr:row>19</xdr:row>
      <xdr:rowOff>88899</xdr:rowOff>
    </xdr:from>
    <xdr:to>
      <xdr:col>20</xdr:col>
      <xdr:colOff>168274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0DC68-8AC1-7829-E9E5-9F00BC8B1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539750</xdr:colOff>
      <xdr:row>4</xdr:row>
      <xdr:rowOff>142875</xdr:rowOff>
    </xdr:from>
    <xdr:to>
      <xdr:col>27</xdr:col>
      <xdr:colOff>358774</xdr:colOff>
      <xdr:row>18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A57DF-F4D4-D951-92B2-F1E356CD1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533401</xdr:colOff>
      <xdr:row>19</xdr:row>
      <xdr:rowOff>161925</xdr:rowOff>
    </xdr:from>
    <xdr:to>
      <xdr:col>27</xdr:col>
      <xdr:colOff>387351</xdr:colOff>
      <xdr:row>33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B680D5-585C-00FD-5711-2778A42FE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2182-CDF4-44D5-AF4A-759FBAFE2F44}">
  <dimension ref="A1:M25"/>
  <sheetViews>
    <sheetView tabSelected="1" topLeftCell="A8" workbookViewId="0">
      <selection activeCell="AF39" sqref="AF39"/>
    </sheetView>
  </sheetViews>
  <sheetFormatPr defaultRowHeight="14.5" x14ac:dyDescent="0.35"/>
  <cols>
    <col min="1" max="1" width="11" customWidth="1"/>
    <col min="2" max="2" width="11.90625" customWidth="1"/>
    <col min="3" max="3" width="8.08984375" customWidth="1"/>
    <col min="4" max="4" width="7.54296875" customWidth="1"/>
    <col min="5" max="5" width="7" customWidth="1"/>
    <col min="6" max="6" width="6.7265625" customWidth="1"/>
  </cols>
  <sheetData>
    <row r="1" spans="1:13" ht="119" x14ac:dyDescent="0.35">
      <c r="A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1</v>
      </c>
      <c r="B3" t="s">
        <v>2</v>
      </c>
    </row>
    <row r="4" spans="1:13" x14ac:dyDescent="0.35">
      <c r="A4" t="s">
        <v>3</v>
      </c>
      <c r="B4" t="s">
        <v>20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4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5">
      <c r="A5" t="s">
        <v>4</v>
      </c>
      <c r="B5" t="s">
        <v>21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ref="I5:I20" si="2">D5/D$2</f>
        <v>1</v>
      </c>
      <c r="J5" s="2">
        <f t="shared" ref="J5:J20" si="3">E5/E$2</f>
        <v>1</v>
      </c>
      <c r="K5" s="2">
        <f t="shared" ref="K5:K20" si="4">F5/F$2</f>
        <v>1</v>
      </c>
      <c r="M5" s="2" t="b">
        <f t="shared" ref="M5:M20" si="5">OR(H5&lt;0.5,I5&lt;0.5,J5&lt;0.5,K5&lt;0.5)</f>
        <v>0</v>
      </c>
    </row>
    <row r="6" spans="1:13" x14ac:dyDescent="0.35">
      <c r="A6" t="s">
        <v>5</v>
      </c>
      <c r="B6" t="s">
        <v>22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2"/>
        <v>0.85</v>
      </c>
      <c r="J6" s="2">
        <f t="shared" si="3"/>
        <v>0.82</v>
      </c>
      <c r="K6" s="2">
        <f t="shared" si="4"/>
        <v>1</v>
      </c>
      <c r="M6" s="2" t="b">
        <f t="shared" si="5"/>
        <v>0</v>
      </c>
    </row>
    <row r="7" spans="1:13" x14ac:dyDescent="0.35">
      <c r="A7" t="s">
        <v>6</v>
      </c>
      <c r="B7" t="s">
        <v>23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2"/>
        <v>0.5</v>
      </c>
      <c r="J7" s="2">
        <f t="shared" si="3"/>
        <v>0.73</v>
      </c>
      <c r="K7" s="2">
        <f t="shared" si="4"/>
        <v>1</v>
      </c>
      <c r="M7" s="2" t="b">
        <f t="shared" si="5"/>
        <v>0</v>
      </c>
    </row>
    <row r="8" spans="1:13" x14ac:dyDescent="0.35">
      <c r="A8" t="s">
        <v>7</v>
      </c>
      <c r="B8" t="s">
        <v>24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2"/>
        <v>1</v>
      </c>
      <c r="J8" s="2">
        <f t="shared" si="3"/>
        <v>0.59</v>
      </c>
      <c r="K8" s="2">
        <f t="shared" si="4"/>
        <v>1</v>
      </c>
      <c r="M8" s="2" t="b">
        <f t="shared" si="5"/>
        <v>0</v>
      </c>
    </row>
    <row r="9" spans="1:13" x14ac:dyDescent="0.35">
      <c r="A9" t="s">
        <v>8</v>
      </c>
      <c r="B9" t="s">
        <v>25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2"/>
        <v>0.85</v>
      </c>
      <c r="J9" s="2">
        <f t="shared" si="3"/>
        <v>1</v>
      </c>
      <c r="K9" s="2">
        <f t="shared" si="4"/>
        <v>1</v>
      </c>
      <c r="M9" s="2" t="b">
        <f t="shared" si="5"/>
        <v>0</v>
      </c>
    </row>
    <row r="10" spans="1:13" x14ac:dyDescent="0.35">
      <c r="A10" t="s">
        <v>9</v>
      </c>
      <c r="B10" t="s">
        <v>26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2"/>
        <v>1</v>
      </c>
      <c r="J10" s="2">
        <f t="shared" si="3"/>
        <v>1</v>
      </c>
      <c r="K10" s="2">
        <f t="shared" si="4"/>
        <v>0</v>
      </c>
      <c r="M10" s="2" t="b">
        <f t="shared" si="5"/>
        <v>1</v>
      </c>
    </row>
    <row r="11" spans="1:13" x14ac:dyDescent="0.35">
      <c r="A11" t="s">
        <v>10</v>
      </c>
      <c r="B11" t="s">
        <v>27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2"/>
        <v>0.3</v>
      </c>
      <c r="J11" s="2">
        <f t="shared" si="3"/>
        <v>1</v>
      </c>
      <c r="K11" s="2">
        <f t="shared" si="4"/>
        <v>1</v>
      </c>
      <c r="M11" s="2" t="b">
        <f t="shared" si="5"/>
        <v>1</v>
      </c>
    </row>
    <row r="12" spans="1:13" x14ac:dyDescent="0.35">
      <c r="A12" t="s">
        <v>11</v>
      </c>
      <c r="B12" t="s">
        <v>28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2"/>
        <v>1</v>
      </c>
      <c r="J12" s="2">
        <f t="shared" si="3"/>
        <v>0.67</v>
      </c>
      <c r="K12" s="2">
        <f t="shared" si="4"/>
        <v>1</v>
      </c>
      <c r="M12" s="2" t="b">
        <f t="shared" si="5"/>
        <v>0</v>
      </c>
    </row>
    <row r="13" spans="1:13" x14ac:dyDescent="0.35">
      <c r="A13" t="s">
        <v>12</v>
      </c>
      <c r="B13" t="s">
        <v>29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2"/>
        <v>1</v>
      </c>
      <c r="J13" s="2">
        <f t="shared" si="3"/>
        <v>0.7</v>
      </c>
      <c r="K13" s="2">
        <f t="shared" si="4"/>
        <v>1</v>
      </c>
      <c r="M13" s="2" t="b">
        <f t="shared" si="5"/>
        <v>0</v>
      </c>
    </row>
    <row r="14" spans="1:13" x14ac:dyDescent="0.35">
      <c r="A14" t="s">
        <v>13</v>
      </c>
      <c r="B14" t="s">
        <v>30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2"/>
        <v>0.95</v>
      </c>
      <c r="J14" s="2">
        <f t="shared" si="3"/>
        <v>0.8</v>
      </c>
      <c r="K14" s="2">
        <f t="shared" si="4"/>
        <v>1</v>
      </c>
      <c r="M14" s="2" t="b">
        <f t="shared" si="5"/>
        <v>0</v>
      </c>
    </row>
    <row r="15" spans="1:13" x14ac:dyDescent="0.35">
      <c r="A15" t="s">
        <v>14</v>
      </c>
      <c r="B15" t="s">
        <v>31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2"/>
        <v>0.85</v>
      </c>
      <c r="J15" s="2">
        <f t="shared" si="3"/>
        <v>0.9</v>
      </c>
      <c r="K15" s="2">
        <f t="shared" si="4"/>
        <v>1</v>
      </c>
      <c r="M15" s="2" t="b">
        <f t="shared" si="5"/>
        <v>0</v>
      </c>
    </row>
    <row r="16" spans="1:13" x14ac:dyDescent="0.35">
      <c r="A16" t="s">
        <v>15</v>
      </c>
      <c r="B16" t="s">
        <v>32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2"/>
        <v>0.95</v>
      </c>
      <c r="J16" s="2">
        <f t="shared" si="3"/>
        <v>0.45</v>
      </c>
      <c r="K16" s="2">
        <f t="shared" si="4"/>
        <v>0</v>
      </c>
      <c r="M16" s="2" t="b">
        <f t="shared" si="5"/>
        <v>1</v>
      </c>
    </row>
    <row r="17" spans="1:13" x14ac:dyDescent="0.35">
      <c r="A17" t="s">
        <v>16</v>
      </c>
      <c r="B17" t="s">
        <v>33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2"/>
        <v>1</v>
      </c>
      <c r="J17" s="2">
        <f t="shared" si="3"/>
        <v>0.9</v>
      </c>
      <c r="K17" s="2">
        <f t="shared" si="4"/>
        <v>1</v>
      </c>
      <c r="M17" s="2" t="b">
        <f t="shared" si="5"/>
        <v>0</v>
      </c>
    </row>
    <row r="18" spans="1:13" x14ac:dyDescent="0.35">
      <c r="A18" t="s">
        <v>17</v>
      </c>
      <c r="B18" t="s">
        <v>34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2"/>
        <v>0.5</v>
      </c>
      <c r="J18" s="2">
        <f t="shared" si="3"/>
        <v>0.8</v>
      </c>
      <c r="K18" s="2">
        <f t="shared" si="4"/>
        <v>1</v>
      </c>
      <c r="M18" s="2" t="b">
        <f t="shared" si="5"/>
        <v>0</v>
      </c>
    </row>
    <row r="19" spans="1:13" x14ac:dyDescent="0.35">
      <c r="A19" t="s">
        <v>18</v>
      </c>
      <c r="B19" t="s">
        <v>35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2"/>
        <v>1</v>
      </c>
      <c r="J19" s="2">
        <f t="shared" si="3"/>
        <v>0.69</v>
      </c>
      <c r="K19" s="2">
        <f t="shared" si="4"/>
        <v>1</v>
      </c>
      <c r="M19" s="2" t="b">
        <f t="shared" si="5"/>
        <v>0</v>
      </c>
    </row>
    <row r="20" spans="1:13" x14ac:dyDescent="0.35">
      <c r="A20" t="s">
        <v>19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si="2"/>
        <v>0.7</v>
      </c>
      <c r="J20" s="2">
        <f t="shared" si="3"/>
        <v>0.9</v>
      </c>
      <c r="K20" s="2">
        <f t="shared" si="4"/>
        <v>1</v>
      </c>
      <c r="M20" s="2" t="b">
        <f t="shared" si="5"/>
        <v>0</v>
      </c>
    </row>
    <row r="23" spans="1:13" x14ac:dyDescent="0.35">
      <c r="A23" t="s">
        <v>43</v>
      </c>
      <c r="C23">
        <f>MAX(C4:C20)</f>
        <v>11</v>
      </c>
      <c r="D23">
        <f t="shared" ref="D23:F23" si="6">MAX(D4:D20)</f>
        <v>20</v>
      </c>
      <c r="E23">
        <f t="shared" si="6"/>
        <v>100</v>
      </c>
      <c r="F23">
        <f t="shared" si="6"/>
        <v>1</v>
      </c>
      <c r="H23" s="2">
        <f>MAX(H4:H20)</f>
        <v>1.1000000000000001</v>
      </c>
      <c r="I23" s="2">
        <f t="shared" ref="I23:K23" si="7">MAX(I4:I20)</f>
        <v>1</v>
      </c>
      <c r="J23" s="2">
        <f t="shared" si="7"/>
        <v>1</v>
      </c>
      <c r="K23" s="2">
        <f t="shared" si="7"/>
        <v>1</v>
      </c>
    </row>
    <row r="24" spans="1:13" x14ac:dyDescent="0.35">
      <c r="A24" t="s">
        <v>44</v>
      </c>
      <c r="C24">
        <f>MIN(C4:C20)</f>
        <v>5</v>
      </c>
      <c r="D24">
        <f t="shared" ref="D24:F24" si="8">MIN(D4:D20)</f>
        <v>6</v>
      </c>
      <c r="E24">
        <f t="shared" si="8"/>
        <v>45</v>
      </c>
      <c r="F24">
        <f t="shared" si="8"/>
        <v>0</v>
      </c>
      <c r="H24" s="2">
        <f>MIN(H4:H20)</f>
        <v>0.5</v>
      </c>
      <c r="I24" s="2">
        <f t="shared" ref="I24:K24" si="9">MIN(I4:I20)</f>
        <v>0.3</v>
      </c>
      <c r="J24" s="2">
        <f t="shared" si="9"/>
        <v>0.45</v>
      </c>
      <c r="K24" s="2">
        <f t="shared" si="9"/>
        <v>0</v>
      </c>
    </row>
    <row r="25" spans="1:13" x14ac:dyDescent="0.35">
      <c r="A25" t="s">
        <v>45</v>
      </c>
      <c r="C25">
        <f>AVERAGE(C4:C20)</f>
        <v>8.9411764705882355</v>
      </c>
      <c r="D25">
        <f t="shared" ref="D25:F25" si="10">AVERAGE(D4:D20)</f>
        <v>16.941176470588236</v>
      </c>
      <c r="E25">
        <f t="shared" si="10"/>
        <v>81.647058823529406</v>
      </c>
      <c r="F25">
        <f t="shared" si="10"/>
        <v>0.88235294117647056</v>
      </c>
      <c r="H25" s="2">
        <f>AVERAGE(H4:H20)</f>
        <v>0.89411764705882346</v>
      </c>
      <c r="I25" s="2">
        <f t="shared" ref="I25:K25" si="11">AVERAGE(I4:I20)</f>
        <v>0.84705882352941153</v>
      </c>
      <c r="J25" s="2">
        <f t="shared" si="11"/>
        <v>0.81647058823529417</v>
      </c>
      <c r="K25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2026-02-12T14:12:40Z</dcterms:created>
  <dcterms:modified xsi:type="dcterms:W3CDTF">2026-02-18T22:45:07Z</dcterms:modified>
</cp:coreProperties>
</file>